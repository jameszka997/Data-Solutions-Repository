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1061617\Downloads\"/>
    </mc:Choice>
  </mc:AlternateContent>
  <xr:revisionPtr revIDLastSave="0" documentId="13_ncr:1_{66E4701C-55AA-4F46-A1CE-9C585642CACB}" xr6:coauthVersionLast="47" xr6:coauthVersionMax="47" xr10:uidLastSave="{00000000-0000-0000-0000-000000000000}"/>
  <bookViews>
    <workbookView xWindow="-110" yWindow="-110" windowWidth="19420" windowHeight="11500" xr2:uid="{9885086E-4705-45CA-9608-B03B7B6383AC}"/>
  </bookViews>
  <sheets>
    <sheet name="Time frame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1" l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S61" i="1" s="1"/>
  <c r="R37" i="1"/>
  <c r="R61" i="1" s="1"/>
  <c r="O3" i="1"/>
  <c r="O4" i="1"/>
  <c r="O26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Q61" i="1"/>
  <c r="N26" i="1"/>
  <c r="Q60" i="1"/>
  <c r="Q59" i="1"/>
  <c r="Q57" i="1"/>
  <c r="Q56" i="1"/>
  <c r="Q58" i="1"/>
  <c r="Q53" i="1"/>
  <c r="Q54" i="1"/>
  <c r="Q52" i="1"/>
  <c r="Q55" i="1"/>
  <c r="Q51" i="1"/>
  <c r="Q50" i="1"/>
  <c r="Q48" i="1"/>
  <c r="Q49" i="1"/>
  <c r="Q47" i="1"/>
  <c r="Q46" i="1"/>
  <c r="Q45" i="1"/>
  <c r="Q44" i="1"/>
  <c r="Q43" i="1"/>
  <c r="Q42" i="1"/>
  <c r="Q41" i="1"/>
  <c r="Q40" i="1"/>
  <c r="Q39" i="1"/>
  <c r="Q38" i="1"/>
  <c r="Q37" i="1"/>
  <c r="N24" i="1"/>
  <c r="N23" i="1"/>
  <c r="N25" i="1"/>
  <c r="N22" i="1"/>
  <c r="N21" i="1"/>
  <c r="N18" i="1"/>
  <c r="N19" i="1"/>
  <c r="N17" i="1"/>
  <c r="N20" i="1"/>
  <c r="N16" i="1"/>
  <c r="N15" i="1"/>
  <c r="N14" i="1"/>
  <c r="N11" i="1"/>
  <c r="N12" i="1"/>
  <c r="N13" i="1"/>
  <c r="N10" i="1"/>
  <c r="N8" i="1"/>
  <c r="N7" i="1"/>
  <c r="N9" i="1"/>
  <c r="N5" i="1"/>
  <c r="N6" i="1"/>
  <c r="N4" i="1"/>
  <c r="N3" i="1"/>
  <c r="N2" i="1"/>
  <c r="P26" i="1" l="1"/>
</calcChain>
</file>

<file path=xl/sharedStrings.xml><?xml version="1.0" encoding="utf-8"?>
<sst xmlns="http://schemas.openxmlformats.org/spreadsheetml/2006/main" count="175" uniqueCount="78">
  <si>
    <t>Auditor</t>
  </si>
  <si>
    <t>Auditor type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</si>
  <si>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</si>
  <si>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</si>
  <si>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</si>
  <si>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</si>
  <si>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</si>
  <si>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</si>
  <si>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</si>
  <si>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</si>
  <si>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</si>
  <si>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</si>
  <si>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</si>
  <si>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</si>
  <si>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Senior</t>
  </si>
  <si>
    <t>Training + Qualification</t>
  </si>
  <si>
    <t>Total: 24</t>
  </si>
  <si>
    <t>Head: 1</t>
  </si>
  <si>
    <t>Senior: 6</t>
  </si>
  <si>
    <t>Auditor: 17</t>
  </si>
  <si>
    <t>January</t>
  </si>
  <si>
    <t>Each new joiner requires certain time to get trained and go through auditor qualification process.</t>
  </si>
  <si>
    <t>Seniors:</t>
  </si>
  <si>
    <t xml:space="preserve">2 months </t>
  </si>
  <si>
    <t>3 months</t>
  </si>
  <si>
    <t>Calculations are done as follows:</t>
  </si>
  <si>
    <t>*Training is universal and mandatory for each auditor</t>
  </si>
  <si>
    <t xml:space="preserve">Trainings </t>
  </si>
  <si>
    <t>=</t>
  </si>
  <si>
    <t>1 month</t>
  </si>
  <si>
    <t>(1 week Onboarding + 2 weeks Pre-KT + 1 week KT)</t>
  </si>
  <si>
    <t>Audit Qualification process</t>
  </si>
  <si>
    <t>*1 audit requires ~2 weeks</t>
  </si>
  <si>
    <t>(1 co-audit + 1 lead-audit)</t>
  </si>
  <si>
    <t>2 months</t>
  </si>
  <si>
    <t>(2 co-audits + 1 lead-audit)</t>
  </si>
  <si>
    <t>Auditor calculated with 2 months to give more leeway due to less experience.</t>
  </si>
  <si>
    <t>As auditors are advised to schedule and allocate 2 weeks for 1 audit case. 2 weeks used for 1 audit to project audit numbers.</t>
  </si>
  <si>
    <t>I have also calculated when vacation time-off is included in it as well to get a more realistic look.</t>
  </si>
  <si>
    <t>As I am unsure about each person's specific number of days that they have, I used 20 days stipulated in Hungarian law + public holidays.</t>
  </si>
  <si>
    <t>4 weeks vacation + plus roughly 2 weeks of public holidays (Christmas, Easter, day offs, Punkosd, etc.)</t>
  </si>
  <si>
    <t>6 weeks</t>
  </si>
  <si>
    <t xml:space="preserve">= </t>
  </si>
  <si>
    <t>- 3 audits</t>
  </si>
  <si>
    <t>Junior</t>
  </si>
  <si>
    <t>Auditor Name</t>
  </si>
  <si>
    <t>1. Alex Johnson</t>
  </si>
  <si>
    <t>2. Maria Garcia</t>
  </si>
  <si>
    <t>3. David Chen</t>
  </si>
  <si>
    <t>4. Sarah Williams</t>
  </si>
  <si>
    <t>5. Michael Brown</t>
  </si>
  <si>
    <t>6. Lisa Anderson</t>
  </si>
  <si>
    <t>7. Robert Taylor</t>
  </si>
  <si>
    <t>8. Jennifer Martinez</t>
  </si>
  <si>
    <t>9. James Wilson</t>
  </si>
  <si>
    <t>10. Emily Davis</t>
  </si>
  <si>
    <t>11. Christopher Lee</t>
  </si>
  <si>
    <t>12. Amanda Thompson</t>
  </si>
  <si>
    <t>13. Daniel Rodriguez</t>
  </si>
  <si>
    <t>14. Jessica Miller</t>
  </si>
  <si>
    <t>15. Matthew Jones</t>
  </si>
  <si>
    <t>16. Ashley White</t>
  </si>
  <si>
    <t>17. Andrew Clark</t>
  </si>
  <si>
    <t>18. Rachel Lewis</t>
  </si>
  <si>
    <t>19. Kevin Walker</t>
  </si>
  <si>
    <t>20. Nicole Hall</t>
  </si>
  <si>
    <t>21. Ryan Young</t>
  </si>
  <si>
    <t>22. Stephanie King</t>
  </si>
  <si>
    <t>23. Brandon Scott</t>
  </si>
  <si>
    <t>24. Lauren Green</t>
  </si>
  <si>
    <t>Team Lead</t>
  </si>
  <si>
    <t>Model 1 Vacation time (-2 / auditor)</t>
  </si>
  <si>
    <t>Model 2 Vacation time (-3 / auditor)</t>
  </si>
  <si>
    <t xml:space="preserve">*Head was calculated at only 1 per month </t>
  </si>
  <si>
    <t>Juniros:</t>
  </si>
  <si>
    <t>Audit Number Projection</t>
  </si>
  <si>
    <t>Time calculated for Senior and Junior Auditor types, upon which the projections are based</t>
  </si>
  <si>
    <t>Auditor names are made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</si>
</sst>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1" fillId="0" borderId="3" xfId="0" applyFont="1" applyBorder="1"/>
    <xf numFmtId="0" fontId="0" fillId="2" borderId="4" xfId="0" applyFill="1" applyBorder="1"/>
    <xf numFmtId="0" fontId="0" fillId="0" borderId="4" xfId="0" applyBorder="1"/>
    <xf numFmtId="0" fontId="1" fillId="0" borderId="5" xfId="0" applyFont="1" applyBorder="1"/>
    <xf numFmtId="0" fontId="0" fillId="3" borderId="6" xfId="0" applyFill="1" applyBorder="1"/>
    <xf numFmtId="0" fontId="0" fillId="2" borderId="6" xfId="0" applyFill="1" applyBorder="1"/>
    <xf numFmtId="0" fontId="0" fillId="0" borderId="6" xfId="0" applyBorder="1"/>
    <xf numFmtId="0" fontId="0" fillId="4" borderId="6" xfId="0" applyFill="1" applyBorder="1"/>
    <xf numFmtId="0" fontId="1" fillId="0" borderId="7" xfId="0" applyFont="1" applyBorder="1"/>
    <xf numFmtId="0" fontId="0" fillId="0" borderId="5" xfId="0" applyBorder="1"/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1" fillId="0" borderId="8" xfId="0" applyFont="1" applyBorder="1"/>
    <xf numFmtId="0" fontId="0" fillId="3" borderId="9" xfId="0" applyFill="1" applyBorder="1"/>
    <xf numFmtId="0" fontId="0" fillId="0" borderId="10" xfId="0" applyBorder="1"/>
    <xf numFmtId="0" fontId="0" fillId="4" borderId="9" xfId="0" applyFill="1" applyBorder="1"/>
    <xf numFmtId="0" fontId="1" fillId="0" borderId="11" xfId="0" applyFont="1" applyBorder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0" xfId="0" quotePrefix="1" applyAlignment="1">
      <alignment horizontal="center"/>
    </xf>
    <xf numFmtId="0" fontId="1" fillId="0" borderId="12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0" fillId="0" borderId="15" xfId="0" applyBorder="1"/>
    <xf numFmtId="0" fontId="2" fillId="0" borderId="18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807C-4AFA-45D4-9A49-6E2AC9148640}">
  <dimension ref="A1:XFD64"/>
  <sheetViews>
    <sheetView tabSelected="1" zoomScale="52" workbookViewId="0"/>
  </sheetViews>
  <sheetFormatPr defaultRowHeight="14.5" x14ac:dyDescent="0.35"/>
  <cols>
    <col min="1" max="1" width="20" bestFit="1" customWidth="1"/>
    <col min="2" max="2" width="15" bestFit="1" customWidth="1"/>
    <col min="10" max="10" width="10.54296875" bestFit="1" customWidth="1"/>
    <col min="13" max="13" width="9.81640625" bestFit="1" customWidth="1"/>
    <col min="15" max="16" width="30.36328125" bestFit="1" customWidth="1"/>
    <col min="18" max="19" width="40.26953125" bestFit="1" customWidth="1"/>
  </cols>
  <sheetData>
    <row r="1" spans="1:19 16384:16384" ht="15" thickBot="1" x14ac:dyDescent="0.4">
      <c r="A1" s="10" t="s">
        <v>45</v>
      </c>
      <c r="B1" s="38" t="s">
        <v>1</v>
      </c>
      <c r="C1" s="13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4" t="s">
        <v>12</v>
      </c>
      <c r="N1" s="28" t="s">
        <v>13</v>
      </c>
      <c r="O1" s="33" t="s">
        <v>71</v>
      </c>
      <c r="P1" s="33" t="s">
        <v>72</v>
      </c>
    </row>
    <row r="2" spans="1:19 16384:16384" x14ac:dyDescent="0.35">
      <c r="A2" t="s">
        <v>46</v>
      </c>
      <c r="B2" s="36" t="s">
        <v>70</v>
      </c>
      <c r="C2" s="11"/>
      <c r="D2" s="14">
        <v>1</v>
      </c>
      <c r="E2" s="14">
        <v>1</v>
      </c>
      <c r="F2" s="14">
        <v>1</v>
      </c>
      <c r="G2" s="14">
        <v>1</v>
      </c>
      <c r="H2" s="14">
        <v>1</v>
      </c>
      <c r="I2" s="14">
        <v>1</v>
      </c>
      <c r="J2" s="14">
        <v>1</v>
      </c>
      <c r="K2" s="14">
        <v>1</v>
      </c>
      <c r="L2" s="14">
        <v>1</v>
      </c>
      <c r="M2" s="25">
        <v>1</v>
      </c>
      <c r="N2" s="26">
        <f>SUM(D2:M2)</f>
        <v>10</v>
      </c>
      <c r="O2" s="26">
        <f>N2-2</f>
        <v>8</v>
      </c>
      <c r="P2" s="26">
        <f>N2-3</f>
        <v>7</v>
      </c>
      <c r="R2" t="s">
        <v>73</v>
      </c>
    </row>
    <row r="3" spans="1:19 16384:16384" x14ac:dyDescent="0.35">
      <c r="A3" t="s">
        <v>47</v>
      </c>
      <c r="B3" s="37" t="s">
        <v>14</v>
      </c>
      <c r="C3" s="11"/>
      <c r="D3" s="14">
        <v>2</v>
      </c>
      <c r="E3" s="14">
        <v>2</v>
      </c>
      <c r="F3" s="14">
        <v>2</v>
      </c>
      <c r="G3" s="14">
        <v>2</v>
      </c>
      <c r="H3" s="14">
        <v>2</v>
      </c>
      <c r="I3" s="14">
        <v>2</v>
      </c>
      <c r="J3" s="14">
        <v>2</v>
      </c>
      <c r="K3" s="14">
        <v>2</v>
      </c>
      <c r="L3" s="14">
        <v>2</v>
      </c>
      <c r="M3" s="25">
        <v>2</v>
      </c>
      <c r="N3" s="26">
        <f>SUM(D3:M3)</f>
        <v>20</v>
      </c>
      <c r="O3" s="26">
        <f t="shared" ref="O3:O25" si="0">N3-2</f>
        <v>18</v>
      </c>
      <c r="P3" s="26">
        <f t="shared" ref="P3:P25" si="1">N3-3</f>
        <v>17</v>
      </c>
      <c r="R3" s="7" t="s">
        <v>15</v>
      </c>
    </row>
    <row r="4" spans="1:19 16384:16384" x14ac:dyDescent="0.35">
      <c r="A4" t="s">
        <v>48</v>
      </c>
      <c r="B4" s="37" t="s">
        <v>44</v>
      </c>
      <c r="C4" s="11"/>
      <c r="D4" s="15"/>
      <c r="E4" s="15"/>
      <c r="F4" s="14">
        <v>2</v>
      </c>
      <c r="G4" s="14">
        <v>2</v>
      </c>
      <c r="H4" s="14">
        <v>2</v>
      </c>
      <c r="I4" s="14">
        <v>2</v>
      </c>
      <c r="J4" s="14">
        <v>2</v>
      </c>
      <c r="K4" s="14">
        <v>2</v>
      </c>
      <c r="L4" s="14">
        <v>2</v>
      </c>
      <c r="M4" s="25">
        <v>2</v>
      </c>
      <c r="N4" s="26">
        <f>SUM(F4:M4)</f>
        <v>16</v>
      </c>
      <c r="O4" s="26">
        <f t="shared" si="0"/>
        <v>14</v>
      </c>
      <c r="P4" s="26">
        <f t="shared" si="1"/>
        <v>13</v>
      </c>
    </row>
    <row r="5" spans="1:19 16384:16384" x14ac:dyDescent="0.35">
      <c r="A5" t="s">
        <v>49</v>
      </c>
      <c r="B5" s="37" t="s">
        <v>44</v>
      </c>
      <c r="C5" s="11"/>
      <c r="D5" s="15"/>
      <c r="E5" s="15"/>
      <c r="F5" s="14">
        <v>2</v>
      </c>
      <c r="G5" s="14">
        <v>2</v>
      </c>
      <c r="H5" s="14">
        <v>2</v>
      </c>
      <c r="I5" s="14">
        <v>2</v>
      </c>
      <c r="J5" s="14">
        <v>2</v>
      </c>
      <c r="K5" s="14">
        <v>2</v>
      </c>
      <c r="L5" s="14">
        <v>2</v>
      </c>
      <c r="M5" s="25">
        <v>2</v>
      </c>
      <c r="N5" s="26">
        <f>SUM(F5:M5)</f>
        <v>16</v>
      </c>
      <c r="O5" s="26">
        <f t="shared" si="0"/>
        <v>14</v>
      </c>
      <c r="P5" s="26">
        <f t="shared" si="1"/>
        <v>13</v>
      </c>
    </row>
    <row r="6" spans="1:19 16384:16384" x14ac:dyDescent="0.35">
      <c r="A6" t="s">
        <v>50</v>
      </c>
      <c r="B6" s="37" t="s">
        <v>44</v>
      </c>
      <c r="C6" s="11"/>
      <c r="D6" s="14">
        <v>2</v>
      </c>
      <c r="E6" s="14">
        <v>2</v>
      </c>
      <c r="F6" s="14">
        <v>2</v>
      </c>
      <c r="G6" s="14">
        <v>2</v>
      </c>
      <c r="H6" s="14">
        <v>2</v>
      </c>
      <c r="I6" s="14">
        <v>2</v>
      </c>
      <c r="J6" s="14">
        <v>2</v>
      </c>
      <c r="K6" s="14">
        <v>2</v>
      </c>
      <c r="L6" s="14">
        <v>2</v>
      </c>
      <c r="M6" s="25">
        <v>2</v>
      </c>
      <c r="N6" s="26">
        <f>SUM(D6:M6)</f>
        <v>20</v>
      </c>
      <c r="O6" s="26">
        <f t="shared" si="0"/>
        <v>18</v>
      </c>
      <c r="P6" s="26">
        <f t="shared" si="1"/>
        <v>17</v>
      </c>
    </row>
    <row r="7" spans="1:19 16384:16384" x14ac:dyDescent="0.35">
      <c r="A7" t="s">
        <v>51</v>
      </c>
      <c r="B7" s="37" t="s">
        <v>44</v>
      </c>
      <c r="C7" s="11"/>
      <c r="D7" s="15"/>
      <c r="E7" s="15"/>
      <c r="F7" s="14">
        <v>2</v>
      </c>
      <c r="G7" s="14">
        <v>2</v>
      </c>
      <c r="H7" s="14">
        <v>2</v>
      </c>
      <c r="I7" s="14">
        <v>2</v>
      </c>
      <c r="J7" s="14">
        <v>2</v>
      </c>
      <c r="K7" s="14">
        <v>2</v>
      </c>
      <c r="L7" s="14">
        <v>2</v>
      </c>
      <c r="M7" s="25">
        <v>2</v>
      </c>
      <c r="N7" s="26">
        <f>SUM(F7:M7)</f>
        <v>16</v>
      </c>
      <c r="O7" s="26">
        <f t="shared" si="0"/>
        <v>14</v>
      </c>
      <c r="P7" s="26">
        <f t="shared" si="1"/>
        <v>13</v>
      </c>
      <c r="R7" s="4"/>
    </row>
    <row r="8" spans="1:19 16384:16384" x14ac:dyDescent="0.35">
      <c r="A8" t="s">
        <v>52</v>
      </c>
      <c r="B8" s="37" t="s">
        <v>44</v>
      </c>
      <c r="C8" s="11"/>
      <c r="D8" s="15"/>
      <c r="E8" s="15"/>
      <c r="F8" s="14">
        <v>2</v>
      </c>
      <c r="G8" s="14">
        <v>2</v>
      </c>
      <c r="H8" s="14">
        <v>2</v>
      </c>
      <c r="I8" s="14">
        <v>2</v>
      </c>
      <c r="J8" s="14">
        <v>2</v>
      </c>
      <c r="K8" s="14">
        <v>2</v>
      </c>
      <c r="L8" s="14">
        <v>2</v>
      </c>
      <c r="M8" s="25">
        <v>2</v>
      </c>
      <c r="N8" s="26">
        <f>SUM(F8:M8)</f>
        <v>16</v>
      </c>
      <c r="O8" s="26">
        <f t="shared" si="0"/>
        <v>14</v>
      </c>
      <c r="P8" s="26">
        <f t="shared" si="1"/>
        <v>13</v>
      </c>
      <c r="R8" s="4"/>
    </row>
    <row r="9" spans="1:19 16384:16384" x14ac:dyDescent="0.35">
      <c r="A9" t="s">
        <v>53</v>
      </c>
      <c r="B9" s="37" t="s">
        <v>14</v>
      </c>
      <c r="C9" s="11"/>
      <c r="D9" s="14">
        <v>2</v>
      </c>
      <c r="E9" s="14">
        <v>2</v>
      </c>
      <c r="F9" s="14">
        <v>2</v>
      </c>
      <c r="G9" s="14">
        <v>2</v>
      </c>
      <c r="H9" s="14">
        <v>2</v>
      </c>
      <c r="I9" s="14">
        <v>2</v>
      </c>
      <c r="J9" s="14">
        <v>2</v>
      </c>
      <c r="K9" s="14">
        <v>2</v>
      </c>
      <c r="L9" s="14">
        <v>2</v>
      </c>
      <c r="M9" s="25">
        <v>2</v>
      </c>
      <c r="N9" s="26">
        <f>SUM(D9:M9)</f>
        <v>20</v>
      </c>
      <c r="O9" s="26">
        <f t="shared" si="0"/>
        <v>18</v>
      </c>
      <c r="P9" s="26">
        <f t="shared" si="1"/>
        <v>17</v>
      </c>
      <c r="R9" s="4"/>
    </row>
    <row r="10" spans="1:19 16384:16384" x14ac:dyDescent="0.35">
      <c r="A10" t="s">
        <v>54</v>
      </c>
      <c r="B10" s="37" t="s">
        <v>44</v>
      </c>
      <c r="C10" s="11"/>
      <c r="D10" s="15"/>
      <c r="E10" s="15"/>
      <c r="F10" s="14">
        <v>2</v>
      </c>
      <c r="G10" s="14">
        <v>2</v>
      </c>
      <c r="H10" s="14">
        <v>2</v>
      </c>
      <c r="I10" s="14">
        <v>2</v>
      </c>
      <c r="J10" s="14">
        <v>2</v>
      </c>
      <c r="K10" s="14">
        <v>2</v>
      </c>
      <c r="L10" s="14">
        <v>2</v>
      </c>
      <c r="M10" s="25">
        <v>2</v>
      </c>
      <c r="N10" s="26">
        <f>SUM(F10:M10)</f>
        <v>16</v>
      </c>
      <c r="O10" s="26">
        <f t="shared" si="0"/>
        <v>14</v>
      </c>
      <c r="P10" s="26">
        <f t="shared" si="1"/>
        <v>13</v>
      </c>
    </row>
    <row r="11" spans="1:19 16384:16384" x14ac:dyDescent="0.35">
      <c r="A11" t="s">
        <v>55</v>
      </c>
      <c r="B11" s="37" t="s">
        <v>44</v>
      </c>
      <c r="C11" s="11"/>
      <c r="D11" s="15"/>
      <c r="E11" s="15"/>
      <c r="F11" s="14">
        <v>2</v>
      </c>
      <c r="G11" s="14">
        <v>2</v>
      </c>
      <c r="H11" s="14">
        <v>2</v>
      </c>
      <c r="I11" s="14">
        <v>2</v>
      </c>
      <c r="J11" s="14">
        <v>2</v>
      </c>
      <c r="K11" s="14">
        <v>2</v>
      </c>
      <c r="L11" s="14">
        <v>2</v>
      </c>
      <c r="M11" s="25">
        <v>2</v>
      </c>
      <c r="N11" s="26">
        <f t="shared" ref="N11:N13" si="2">SUM(F11:M11)</f>
        <v>16</v>
      </c>
      <c r="O11" s="26">
        <f t="shared" si="0"/>
        <v>14</v>
      </c>
      <c r="P11" s="26">
        <f t="shared" si="1"/>
        <v>13</v>
      </c>
    </row>
    <row r="12" spans="1:19 16384:16384" x14ac:dyDescent="0.35">
      <c r="A12" t="s">
        <v>56</v>
      </c>
      <c r="B12" s="37" t="s">
        <v>44</v>
      </c>
      <c r="C12" s="11"/>
      <c r="D12" s="15"/>
      <c r="E12" s="15"/>
      <c r="F12" s="14">
        <v>2</v>
      </c>
      <c r="G12" s="14">
        <v>2</v>
      </c>
      <c r="H12" s="14">
        <v>2</v>
      </c>
      <c r="I12" s="14">
        <v>2</v>
      </c>
      <c r="J12" s="14">
        <v>2</v>
      </c>
      <c r="K12" s="14">
        <v>2</v>
      </c>
      <c r="L12" s="14">
        <v>2</v>
      </c>
      <c r="M12" s="25">
        <v>2</v>
      </c>
      <c r="N12" s="26">
        <f t="shared" si="2"/>
        <v>16</v>
      </c>
      <c r="O12" s="26">
        <f t="shared" si="0"/>
        <v>14</v>
      </c>
      <c r="P12" s="26">
        <f t="shared" si="1"/>
        <v>13</v>
      </c>
      <c r="R12" s="4"/>
    </row>
    <row r="13" spans="1:19 16384:16384" x14ac:dyDescent="0.35">
      <c r="A13" t="s">
        <v>57</v>
      </c>
      <c r="B13" s="37" t="s">
        <v>44</v>
      </c>
      <c r="C13" s="11"/>
      <c r="D13" s="15"/>
      <c r="E13" s="15"/>
      <c r="F13" s="14">
        <v>2</v>
      </c>
      <c r="G13" s="14">
        <v>2</v>
      </c>
      <c r="H13" s="14">
        <v>2</v>
      </c>
      <c r="I13" s="14">
        <v>2</v>
      </c>
      <c r="J13" s="14">
        <v>2</v>
      </c>
      <c r="K13" s="14">
        <v>2</v>
      </c>
      <c r="L13" s="14">
        <v>2</v>
      </c>
      <c r="M13" s="25">
        <v>2</v>
      </c>
      <c r="N13" s="26">
        <f t="shared" si="2"/>
        <v>16</v>
      </c>
      <c r="O13" s="26">
        <f t="shared" si="0"/>
        <v>14</v>
      </c>
      <c r="P13" s="26">
        <f t="shared" si="1"/>
        <v>13</v>
      </c>
      <c r="R13" s="34"/>
      <c r="S13" s="35"/>
    </row>
    <row r="14" spans="1:19 16384:16384" x14ac:dyDescent="0.35">
      <c r="A14" t="s">
        <v>58</v>
      </c>
      <c r="B14" s="37" t="s">
        <v>14</v>
      </c>
      <c r="C14" s="11"/>
      <c r="D14" s="15"/>
      <c r="E14" s="15"/>
      <c r="F14" s="14">
        <v>2</v>
      </c>
      <c r="G14" s="14">
        <v>2</v>
      </c>
      <c r="H14" s="14">
        <v>2</v>
      </c>
      <c r="I14" s="14">
        <v>2</v>
      </c>
      <c r="J14" s="14">
        <v>2</v>
      </c>
      <c r="K14" s="14">
        <v>2</v>
      </c>
      <c r="L14" s="14">
        <v>2</v>
      </c>
      <c r="M14" s="25">
        <v>2</v>
      </c>
      <c r="N14" s="26">
        <f>SUM(F14:M14)</f>
        <v>16</v>
      </c>
      <c r="O14" s="26">
        <f t="shared" si="0"/>
        <v>14</v>
      </c>
      <c r="P14" s="26">
        <f t="shared" si="1"/>
        <v>13</v>
      </c>
    </row>
    <row r="15" spans="1:19 16384:16384" x14ac:dyDescent="0.35">
      <c r="A15" t="s">
        <v>59</v>
      </c>
      <c r="B15" s="37" t="s">
        <v>44</v>
      </c>
      <c r="C15" s="12"/>
      <c r="D15" s="15"/>
      <c r="E15" s="15"/>
      <c r="F15" s="15"/>
      <c r="G15" s="14">
        <v>2</v>
      </c>
      <c r="H15" s="14">
        <v>2</v>
      </c>
      <c r="I15" s="14">
        <v>2</v>
      </c>
      <c r="J15" s="14">
        <v>2</v>
      </c>
      <c r="K15" s="14">
        <v>2</v>
      </c>
      <c r="L15" s="14">
        <v>2</v>
      </c>
      <c r="M15" s="25">
        <v>2</v>
      </c>
      <c r="N15" s="26">
        <f>SUM(G15:M15)</f>
        <v>14</v>
      </c>
      <c r="O15" s="26">
        <f t="shared" si="0"/>
        <v>12</v>
      </c>
      <c r="P15" s="26">
        <f t="shared" si="1"/>
        <v>11</v>
      </c>
      <c r="XFD15" s="8"/>
    </row>
    <row r="16" spans="1:19 16384:16384" x14ac:dyDescent="0.35">
      <c r="A16" t="s">
        <v>60</v>
      </c>
      <c r="B16" s="37" t="s">
        <v>44</v>
      </c>
      <c r="C16" s="12"/>
      <c r="D16" s="15"/>
      <c r="E16" s="15"/>
      <c r="F16" s="15"/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25">
        <v>2</v>
      </c>
      <c r="N16" s="26">
        <f>SUM(G16:M16)</f>
        <v>14</v>
      </c>
      <c r="O16" s="26">
        <f t="shared" si="0"/>
        <v>12</v>
      </c>
      <c r="P16" s="26">
        <f t="shared" si="1"/>
        <v>11</v>
      </c>
    </row>
    <row r="17" spans="1:16" x14ac:dyDescent="0.35">
      <c r="A17" t="s">
        <v>61</v>
      </c>
      <c r="B17" s="37" t="s">
        <v>44</v>
      </c>
      <c r="C17" s="12"/>
      <c r="D17" s="16"/>
      <c r="E17" s="15"/>
      <c r="F17" s="15"/>
      <c r="G17" s="15"/>
      <c r="H17" s="14">
        <v>2</v>
      </c>
      <c r="I17" s="14">
        <v>2</v>
      </c>
      <c r="J17" s="14">
        <v>2</v>
      </c>
      <c r="K17" s="14">
        <v>2</v>
      </c>
      <c r="L17" s="14">
        <v>2</v>
      </c>
      <c r="M17" s="25">
        <v>2</v>
      </c>
      <c r="N17" s="26">
        <f>SUM(H17:M17)</f>
        <v>12</v>
      </c>
      <c r="O17" s="26">
        <f t="shared" si="0"/>
        <v>10</v>
      </c>
      <c r="P17" s="26">
        <f t="shared" si="1"/>
        <v>9</v>
      </c>
    </row>
    <row r="18" spans="1:16" x14ac:dyDescent="0.35">
      <c r="A18" t="s">
        <v>62</v>
      </c>
      <c r="B18" s="37" t="s">
        <v>44</v>
      </c>
      <c r="C18" s="12"/>
      <c r="D18" s="16"/>
      <c r="E18" s="15"/>
      <c r="F18" s="15"/>
      <c r="G18" s="15"/>
      <c r="H18" s="14">
        <v>2</v>
      </c>
      <c r="I18" s="14">
        <v>2</v>
      </c>
      <c r="J18" s="14">
        <v>2</v>
      </c>
      <c r="K18" s="14">
        <v>2</v>
      </c>
      <c r="L18" s="14">
        <v>2</v>
      </c>
      <c r="M18" s="25">
        <v>2</v>
      </c>
      <c r="N18" s="26">
        <f t="shared" ref="N18:N19" si="3">SUM(H18:M18)</f>
        <v>12</v>
      </c>
      <c r="O18" s="26">
        <f t="shared" si="0"/>
        <v>10</v>
      </c>
      <c r="P18" s="26">
        <f t="shared" si="1"/>
        <v>9</v>
      </c>
    </row>
    <row r="19" spans="1:16" x14ac:dyDescent="0.35">
      <c r="A19" t="s">
        <v>63</v>
      </c>
      <c r="B19" s="37" t="s">
        <v>44</v>
      </c>
      <c r="C19" s="12"/>
      <c r="D19" s="16"/>
      <c r="E19" s="15"/>
      <c r="F19" s="15"/>
      <c r="G19" s="15"/>
      <c r="H19" s="14">
        <v>2</v>
      </c>
      <c r="I19" s="14">
        <v>2</v>
      </c>
      <c r="J19" s="14">
        <v>2</v>
      </c>
      <c r="K19" s="14">
        <v>2</v>
      </c>
      <c r="L19" s="14">
        <v>2</v>
      </c>
      <c r="M19" s="25">
        <v>2</v>
      </c>
      <c r="N19" s="26">
        <f t="shared" si="3"/>
        <v>12</v>
      </c>
      <c r="O19" s="26">
        <f t="shared" si="0"/>
        <v>10</v>
      </c>
      <c r="P19" s="26">
        <f t="shared" si="1"/>
        <v>9</v>
      </c>
    </row>
    <row r="20" spans="1:16" x14ac:dyDescent="0.35">
      <c r="A20" t="s">
        <v>64</v>
      </c>
      <c r="B20" s="37" t="s">
        <v>14</v>
      </c>
      <c r="C20" s="12"/>
      <c r="D20" s="16"/>
      <c r="E20" s="15"/>
      <c r="F20" s="15"/>
      <c r="G20" s="14">
        <v>2</v>
      </c>
      <c r="H20" s="14">
        <v>2</v>
      </c>
      <c r="I20" s="14">
        <v>2</v>
      </c>
      <c r="J20" s="14">
        <v>2</v>
      </c>
      <c r="K20" s="14">
        <v>2</v>
      </c>
      <c r="L20" s="14">
        <v>2</v>
      </c>
      <c r="M20" s="25">
        <v>2</v>
      </c>
      <c r="N20" s="26">
        <f>SUM(G20:M20)</f>
        <v>14</v>
      </c>
      <c r="O20" s="26">
        <f t="shared" si="0"/>
        <v>12</v>
      </c>
      <c r="P20" s="26">
        <f t="shared" si="1"/>
        <v>11</v>
      </c>
    </row>
    <row r="21" spans="1:16" x14ac:dyDescent="0.35">
      <c r="A21" t="s">
        <v>65</v>
      </c>
      <c r="B21" s="37" t="s">
        <v>44</v>
      </c>
      <c r="C21" s="12"/>
      <c r="D21" s="16"/>
      <c r="E21" s="16"/>
      <c r="F21" s="15"/>
      <c r="G21" s="15"/>
      <c r="H21" s="15"/>
      <c r="I21" s="14">
        <v>2</v>
      </c>
      <c r="J21" s="14">
        <v>2</v>
      </c>
      <c r="K21" s="14">
        <v>2</v>
      </c>
      <c r="L21" s="14">
        <v>2</v>
      </c>
      <c r="M21" s="25">
        <v>2</v>
      </c>
      <c r="N21" s="26">
        <f>SUM(I21:M21)</f>
        <v>10</v>
      </c>
      <c r="O21" s="26">
        <f t="shared" si="0"/>
        <v>8</v>
      </c>
      <c r="P21" s="26">
        <f t="shared" si="1"/>
        <v>7</v>
      </c>
    </row>
    <row r="22" spans="1:16" x14ac:dyDescent="0.35">
      <c r="A22" t="s">
        <v>66</v>
      </c>
      <c r="B22" s="37" t="s">
        <v>44</v>
      </c>
      <c r="C22" s="12"/>
      <c r="D22" s="16"/>
      <c r="E22" s="16"/>
      <c r="F22" s="15"/>
      <c r="G22" s="15"/>
      <c r="H22" s="15"/>
      <c r="I22" s="14">
        <v>2</v>
      </c>
      <c r="J22" s="14">
        <v>2</v>
      </c>
      <c r="K22" s="14">
        <v>2</v>
      </c>
      <c r="L22" s="14">
        <v>2</v>
      </c>
      <c r="M22" s="25">
        <v>2</v>
      </c>
      <c r="N22" s="26">
        <f>SUM(I22:M22)</f>
        <v>10</v>
      </c>
      <c r="O22" s="26">
        <f t="shared" si="0"/>
        <v>8</v>
      </c>
      <c r="P22" s="26">
        <f t="shared" si="1"/>
        <v>7</v>
      </c>
    </row>
    <row r="23" spans="1:16" x14ac:dyDescent="0.35">
      <c r="A23" t="s">
        <v>67</v>
      </c>
      <c r="B23" s="37" t="s">
        <v>14</v>
      </c>
      <c r="C23" s="12"/>
      <c r="D23" s="16"/>
      <c r="E23" s="16"/>
      <c r="F23" s="15"/>
      <c r="G23" s="15"/>
      <c r="H23" s="14">
        <v>2</v>
      </c>
      <c r="I23" s="14">
        <v>2</v>
      </c>
      <c r="J23" s="14">
        <v>2</v>
      </c>
      <c r="K23" s="14">
        <v>2</v>
      </c>
      <c r="L23" s="14">
        <v>2</v>
      </c>
      <c r="M23" s="25">
        <v>2</v>
      </c>
      <c r="N23" s="26">
        <f>SUM(H23:M23)</f>
        <v>12</v>
      </c>
      <c r="O23" s="26">
        <f t="shared" si="0"/>
        <v>10</v>
      </c>
      <c r="P23" s="26">
        <f t="shared" si="1"/>
        <v>9</v>
      </c>
    </row>
    <row r="24" spans="1:16" x14ac:dyDescent="0.35">
      <c r="A24" t="s">
        <v>68</v>
      </c>
      <c r="B24" s="37" t="s">
        <v>44</v>
      </c>
      <c r="C24" s="12"/>
      <c r="D24" s="16"/>
      <c r="E24" s="16"/>
      <c r="F24" s="16"/>
      <c r="G24" s="15"/>
      <c r="H24" s="15"/>
      <c r="I24" s="15"/>
      <c r="J24" s="14">
        <v>2</v>
      </c>
      <c r="K24" s="14">
        <v>2</v>
      </c>
      <c r="L24" s="14">
        <v>2</v>
      </c>
      <c r="M24" s="25">
        <v>2</v>
      </c>
      <c r="N24" s="26">
        <f>SUM(J24:M24)</f>
        <v>8</v>
      </c>
      <c r="O24" s="26">
        <f t="shared" si="0"/>
        <v>6</v>
      </c>
      <c r="P24" s="26">
        <f t="shared" si="1"/>
        <v>5</v>
      </c>
    </row>
    <row r="25" spans="1:16" ht="15" thickBot="1" x14ac:dyDescent="0.4">
      <c r="A25" s="9" t="s">
        <v>69</v>
      </c>
      <c r="B25" s="39" t="s">
        <v>14</v>
      </c>
      <c r="C25" s="19"/>
      <c r="D25" s="20"/>
      <c r="E25" s="20"/>
      <c r="F25" s="20"/>
      <c r="G25" s="15"/>
      <c r="H25" s="21"/>
      <c r="I25" s="22">
        <v>2</v>
      </c>
      <c r="J25" s="22">
        <v>2</v>
      </c>
      <c r="K25" s="22">
        <v>2</v>
      </c>
      <c r="L25" s="22">
        <v>2</v>
      </c>
      <c r="M25" s="25">
        <v>2</v>
      </c>
      <c r="N25" s="26">
        <f>SUM(I25:M25)</f>
        <v>10</v>
      </c>
      <c r="O25" s="26">
        <f t="shared" si="0"/>
        <v>8</v>
      </c>
      <c r="P25" s="26">
        <f t="shared" si="1"/>
        <v>7</v>
      </c>
    </row>
    <row r="26" spans="1:16" ht="15" thickBot="1" x14ac:dyDescent="0.4">
      <c r="A26" s="4" t="s">
        <v>16</v>
      </c>
      <c r="B26" s="4"/>
      <c r="M26" s="29" t="s">
        <v>13</v>
      </c>
      <c r="N26" s="31">
        <f>SUM(N2:N25)</f>
        <v>342</v>
      </c>
      <c r="O26" s="31">
        <f>SUM(O2:O25)</f>
        <v>294</v>
      </c>
      <c r="P26" s="31">
        <f>SUM(P2:P25)</f>
        <v>270</v>
      </c>
    </row>
    <row r="27" spans="1:16" x14ac:dyDescent="0.35">
      <c r="A27" s="4" t="s">
        <v>17</v>
      </c>
    </row>
    <row r="28" spans="1:16" x14ac:dyDescent="0.35">
      <c r="A28" s="4" t="s">
        <v>18</v>
      </c>
    </row>
    <row r="29" spans="1:16" x14ac:dyDescent="0.35">
      <c r="A29" s="4" t="s">
        <v>19</v>
      </c>
    </row>
    <row r="35" spans="1:19" ht="15" thickBot="1" x14ac:dyDescent="0.4"/>
    <row r="36" spans="1:19" ht="15" thickBot="1" x14ac:dyDescent="0.4">
      <c r="A36" s="10" t="s">
        <v>0</v>
      </c>
      <c r="B36" s="13" t="s">
        <v>1</v>
      </c>
      <c r="C36" s="13" t="s">
        <v>2</v>
      </c>
      <c r="D36" s="18" t="s">
        <v>3</v>
      </c>
      <c r="E36" s="18" t="s">
        <v>4</v>
      </c>
      <c r="F36" s="18" t="s">
        <v>5</v>
      </c>
      <c r="G36" s="18" t="s">
        <v>6</v>
      </c>
      <c r="H36" s="18" t="s">
        <v>7</v>
      </c>
      <c r="I36" s="18" t="s">
        <v>8</v>
      </c>
      <c r="J36" s="18" t="s">
        <v>9</v>
      </c>
      <c r="K36" s="18" t="s">
        <v>10</v>
      </c>
      <c r="L36" s="18" t="s">
        <v>11</v>
      </c>
      <c r="M36" s="18" t="s">
        <v>12</v>
      </c>
      <c r="N36" s="18" t="s">
        <v>20</v>
      </c>
      <c r="O36" s="18" t="s">
        <v>2</v>
      </c>
      <c r="P36" s="24" t="s">
        <v>3</v>
      </c>
      <c r="Q36" s="28" t="s">
        <v>13</v>
      </c>
      <c r="R36" s="33" t="s">
        <v>71</v>
      </c>
      <c r="S36" s="33" t="s">
        <v>72</v>
      </c>
    </row>
    <row r="37" spans="1:19" x14ac:dyDescent="0.35">
      <c r="A37" t="s">
        <v>46</v>
      </c>
      <c r="B37" s="36" t="s">
        <v>70</v>
      </c>
      <c r="C37" s="11"/>
      <c r="D37" s="14">
        <v>1</v>
      </c>
      <c r="E37" s="14">
        <v>1</v>
      </c>
      <c r="F37" s="14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7">
        <v>1</v>
      </c>
      <c r="O37" s="17">
        <v>1</v>
      </c>
      <c r="P37" s="27">
        <v>1</v>
      </c>
      <c r="Q37" s="26">
        <f>SUM(D37:P37)</f>
        <v>13</v>
      </c>
      <c r="R37" s="26">
        <f>Q37-2</f>
        <v>11</v>
      </c>
      <c r="S37" s="26">
        <f>Q37-3</f>
        <v>10</v>
      </c>
    </row>
    <row r="38" spans="1:19" x14ac:dyDescent="0.35">
      <c r="A38" t="s">
        <v>47</v>
      </c>
      <c r="B38" s="37" t="s">
        <v>14</v>
      </c>
      <c r="C38" s="11"/>
      <c r="D38" s="14">
        <v>2</v>
      </c>
      <c r="E38" s="14">
        <v>2</v>
      </c>
      <c r="F38" s="14">
        <v>2</v>
      </c>
      <c r="G38" s="14">
        <v>2</v>
      </c>
      <c r="H38" s="14">
        <v>2</v>
      </c>
      <c r="I38" s="14">
        <v>2</v>
      </c>
      <c r="J38" s="14">
        <v>2</v>
      </c>
      <c r="K38" s="14">
        <v>2</v>
      </c>
      <c r="L38" s="14">
        <v>2</v>
      </c>
      <c r="M38" s="14">
        <v>2</v>
      </c>
      <c r="N38" s="17">
        <v>2</v>
      </c>
      <c r="O38" s="17">
        <v>2</v>
      </c>
      <c r="P38" s="27">
        <v>2</v>
      </c>
      <c r="Q38" s="26">
        <f>SUM(D38:P38)</f>
        <v>26</v>
      </c>
      <c r="R38" s="26">
        <f t="shared" ref="R38:R60" si="4">Q38-2</f>
        <v>24</v>
      </c>
      <c r="S38" s="26">
        <f t="shared" ref="S38:S60" si="5">Q38-3</f>
        <v>23</v>
      </c>
    </row>
    <row r="39" spans="1:19" x14ac:dyDescent="0.35">
      <c r="A39" t="s">
        <v>48</v>
      </c>
      <c r="B39" s="37" t="s">
        <v>44</v>
      </c>
      <c r="C39" s="11"/>
      <c r="D39" s="15"/>
      <c r="E39" s="15"/>
      <c r="F39" s="14">
        <v>2</v>
      </c>
      <c r="G39" s="14">
        <v>2</v>
      </c>
      <c r="H39" s="14">
        <v>2</v>
      </c>
      <c r="I39" s="14">
        <v>2</v>
      </c>
      <c r="J39" s="14">
        <v>2</v>
      </c>
      <c r="K39" s="14">
        <v>2</v>
      </c>
      <c r="L39" s="14">
        <v>2</v>
      </c>
      <c r="M39" s="14">
        <v>2</v>
      </c>
      <c r="N39" s="17">
        <v>2</v>
      </c>
      <c r="O39" s="17">
        <v>2</v>
      </c>
      <c r="P39" s="27">
        <v>2</v>
      </c>
      <c r="Q39" s="26">
        <f>SUM(F39:P39)</f>
        <v>22</v>
      </c>
      <c r="R39" s="26">
        <f t="shared" si="4"/>
        <v>20</v>
      </c>
      <c r="S39" s="26">
        <f t="shared" si="5"/>
        <v>19</v>
      </c>
    </row>
    <row r="40" spans="1:19" x14ac:dyDescent="0.35">
      <c r="A40" t="s">
        <v>49</v>
      </c>
      <c r="B40" s="37" t="s">
        <v>44</v>
      </c>
      <c r="C40" s="11"/>
      <c r="D40" s="15"/>
      <c r="E40" s="15"/>
      <c r="F40" s="14">
        <v>2</v>
      </c>
      <c r="G40" s="14">
        <v>2</v>
      </c>
      <c r="H40" s="14">
        <v>2</v>
      </c>
      <c r="I40" s="14">
        <v>2</v>
      </c>
      <c r="J40" s="14">
        <v>2</v>
      </c>
      <c r="K40" s="14">
        <v>2</v>
      </c>
      <c r="L40" s="14">
        <v>2</v>
      </c>
      <c r="M40" s="14">
        <v>2</v>
      </c>
      <c r="N40" s="17">
        <v>2</v>
      </c>
      <c r="O40" s="17">
        <v>2</v>
      </c>
      <c r="P40" s="27">
        <v>2</v>
      </c>
      <c r="Q40" s="26">
        <f>SUM(F40:P40)</f>
        <v>22</v>
      </c>
      <c r="R40" s="26">
        <f t="shared" si="4"/>
        <v>20</v>
      </c>
      <c r="S40" s="26">
        <f t="shared" si="5"/>
        <v>19</v>
      </c>
    </row>
    <row r="41" spans="1:19" x14ac:dyDescent="0.35">
      <c r="A41" t="s">
        <v>50</v>
      </c>
      <c r="B41" s="37" t="s">
        <v>44</v>
      </c>
      <c r="C41" s="11"/>
      <c r="D41" s="14">
        <v>2</v>
      </c>
      <c r="E41" s="14">
        <v>2</v>
      </c>
      <c r="F41" s="14">
        <v>2</v>
      </c>
      <c r="G41" s="14">
        <v>2</v>
      </c>
      <c r="H41" s="14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17">
        <v>2</v>
      </c>
      <c r="O41" s="17">
        <v>2</v>
      </c>
      <c r="P41" s="27">
        <v>2</v>
      </c>
      <c r="Q41" s="26">
        <f>SUM(D41:P41)</f>
        <v>26</v>
      </c>
      <c r="R41" s="26">
        <f t="shared" si="4"/>
        <v>24</v>
      </c>
      <c r="S41" s="26">
        <f t="shared" si="5"/>
        <v>23</v>
      </c>
    </row>
    <row r="42" spans="1:19" x14ac:dyDescent="0.35">
      <c r="A42" t="s">
        <v>51</v>
      </c>
      <c r="B42" s="37" t="s">
        <v>44</v>
      </c>
      <c r="C42" s="11"/>
      <c r="D42" s="15"/>
      <c r="E42" s="15"/>
      <c r="F42" s="14">
        <v>2</v>
      </c>
      <c r="G42" s="14">
        <v>2</v>
      </c>
      <c r="H42" s="14">
        <v>2</v>
      </c>
      <c r="I42" s="14">
        <v>2</v>
      </c>
      <c r="J42" s="14">
        <v>2</v>
      </c>
      <c r="K42" s="14">
        <v>2</v>
      </c>
      <c r="L42" s="14">
        <v>2</v>
      </c>
      <c r="M42" s="14">
        <v>2</v>
      </c>
      <c r="N42" s="17">
        <v>2</v>
      </c>
      <c r="O42" s="17">
        <v>2</v>
      </c>
      <c r="P42" s="27">
        <v>2</v>
      </c>
      <c r="Q42" s="26">
        <f>SUM(F42:P42)</f>
        <v>22</v>
      </c>
      <c r="R42" s="26">
        <f t="shared" si="4"/>
        <v>20</v>
      </c>
      <c r="S42" s="26">
        <f t="shared" si="5"/>
        <v>19</v>
      </c>
    </row>
    <row r="43" spans="1:19" x14ac:dyDescent="0.35">
      <c r="A43" t="s">
        <v>52</v>
      </c>
      <c r="B43" s="37" t="s">
        <v>44</v>
      </c>
      <c r="C43" s="11"/>
      <c r="D43" s="15"/>
      <c r="E43" s="15"/>
      <c r="F43" s="14">
        <v>2</v>
      </c>
      <c r="G43" s="14">
        <v>2</v>
      </c>
      <c r="H43" s="14">
        <v>2</v>
      </c>
      <c r="I43" s="14">
        <v>2</v>
      </c>
      <c r="J43" s="14">
        <v>2</v>
      </c>
      <c r="K43" s="14">
        <v>2</v>
      </c>
      <c r="L43" s="14">
        <v>2</v>
      </c>
      <c r="M43" s="14">
        <v>2</v>
      </c>
      <c r="N43" s="17">
        <v>2</v>
      </c>
      <c r="O43" s="17">
        <v>2</v>
      </c>
      <c r="P43" s="27">
        <v>2</v>
      </c>
      <c r="Q43" s="26">
        <f>SUM(F43:P43)</f>
        <v>22</v>
      </c>
      <c r="R43" s="26">
        <f t="shared" si="4"/>
        <v>20</v>
      </c>
      <c r="S43" s="26">
        <f t="shared" si="5"/>
        <v>19</v>
      </c>
    </row>
    <row r="44" spans="1:19" x14ac:dyDescent="0.35">
      <c r="A44" t="s">
        <v>53</v>
      </c>
      <c r="B44" s="37" t="s">
        <v>14</v>
      </c>
      <c r="C44" s="11"/>
      <c r="D44" s="14">
        <v>2</v>
      </c>
      <c r="E44" s="14">
        <v>2</v>
      </c>
      <c r="F44" s="14">
        <v>2</v>
      </c>
      <c r="G44" s="14">
        <v>2</v>
      </c>
      <c r="H44" s="14">
        <v>2</v>
      </c>
      <c r="I44" s="14">
        <v>2</v>
      </c>
      <c r="J44" s="14">
        <v>2</v>
      </c>
      <c r="K44" s="14">
        <v>2</v>
      </c>
      <c r="L44" s="14">
        <v>2</v>
      </c>
      <c r="M44" s="14">
        <v>2</v>
      </c>
      <c r="N44" s="17">
        <v>2</v>
      </c>
      <c r="O44" s="17">
        <v>2</v>
      </c>
      <c r="P44" s="27">
        <v>2</v>
      </c>
      <c r="Q44" s="26">
        <f>SUM(D44:P44)</f>
        <v>26</v>
      </c>
      <c r="R44" s="26">
        <f t="shared" si="4"/>
        <v>24</v>
      </c>
      <c r="S44" s="26">
        <f t="shared" si="5"/>
        <v>23</v>
      </c>
    </row>
    <row r="45" spans="1:19" x14ac:dyDescent="0.35">
      <c r="A45" t="s">
        <v>54</v>
      </c>
      <c r="B45" s="37" t="s">
        <v>44</v>
      </c>
      <c r="C45" s="11"/>
      <c r="D45" s="15"/>
      <c r="E45" s="15"/>
      <c r="F45" s="14">
        <v>2</v>
      </c>
      <c r="G45" s="14">
        <v>2</v>
      </c>
      <c r="H45" s="14">
        <v>2</v>
      </c>
      <c r="I45" s="14">
        <v>2</v>
      </c>
      <c r="J45" s="14">
        <v>2</v>
      </c>
      <c r="K45" s="14">
        <v>2</v>
      </c>
      <c r="L45" s="14">
        <v>2</v>
      </c>
      <c r="M45" s="14">
        <v>2</v>
      </c>
      <c r="N45" s="17">
        <v>2</v>
      </c>
      <c r="O45" s="17">
        <v>2</v>
      </c>
      <c r="P45" s="27">
        <v>2</v>
      </c>
      <c r="Q45" s="26">
        <f>SUM(F45:P45)</f>
        <v>22</v>
      </c>
      <c r="R45" s="26">
        <f t="shared" si="4"/>
        <v>20</v>
      </c>
      <c r="S45" s="26">
        <f t="shared" si="5"/>
        <v>19</v>
      </c>
    </row>
    <row r="46" spans="1:19" x14ac:dyDescent="0.35">
      <c r="A46" t="s">
        <v>55</v>
      </c>
      <c r="B46" s="37" t="s">
        <v>44</v>
      </c>
      <c r="C46" s="11"/>
      <c r="D46" s="15"/>
      <c r="E46" s="15"/>
      <c r="F46" s="14">
        <v>2</v>
      </c>
      <c r="G46" s="14">
        <v>2</v>
      </c>
      <c r="H46" s="14">
        <v>2</v>
      </c>
      <c r="I46" s="14">
        <v>2</v>
      </c>
      <c r="J46" s="14">
        <v>2</v>
      </c>
      <c r="K46" s="14">
        <v>2</v>
      </c>
      <c r="L46" s="14">
        <v>2</v>
      </c>
      <c r="M46" s="14">
        <v>2</v>
      </c>
      <c r="N46" s="17">
        <v>2</v>
      </c>
      <c r="O46" s="17">
        <v>2</v>
      </c>
      <c r="P46" s="27">
        <v>2</v>
      </c>
      <c r="Q46" s="26">
        <f>SUM(F46:P46)</f>
        <v>22</v>
      </c>
      <c r="R46" s="26">
        <f t="shared" si="4"/>
        <v>20</v>
      </c>
      <c r="S46" s="26">
        <f t="shared" si="5"/>
        <v>19</v>
      </c>
    </row>
    <row r="47" spans="1:19" x14ac:dyDescent="0.35">
      <c r="A47" t="s">
        <v>56</v>
      </c>
      <c r="B47" s="37" t="s">
        <v>44</v>
      </c>
      <c r="C47" s="11"/>
      <c r="D47" s="15"/>
      <c r="E47" s="15"/>
      <c r="F47" s="14">
        <v>2</v>
      </c>
      <c r="G47" s="14">
        <v>2</v>
      </c>
      <c r="H47" s="14">
        <v>2</v>
      </c>
      <c r="I47" s="14">
        <v>2</v>
      </c>
      <c r="J47" s="14">
        <v>2</v>
      </c>
      <c r="K47" s="14">
        <v>2</v>
      </c>
      <c r="L47" s="14">
        <v>2</v>
      </c>
      <c r="M47" s="14">
        <v>2</v>
      </c>
      <c r="N47" s="17">
        <v>2</v>
      </c>
      <c r="O47" s="17">
        <v>2</v>
      </c>
      <c r="P47" s="27">
        <v>2</v>
      </c>
      <c r="Q47" s="26">
        <f>SUM(F47:P47)</f>
        <v>22</v>
      </c>
      <c r="R47" s="26">
        <f t="shared" si="4"/>
        <v>20</v>
      </c>
      <c r="S47" s="26">
        <f t="shared" si="5"/>
        <v>19</v>
      </c>
    </row>
    <row r="48" spans="1:19" x14ac:dyDescent="0.35">
      <c r="A48" t="s">
        <v>57</v>
      </c>
      <c r="B48" s="37" t="s">
        <v>44</v>
      </c>
      <c r="C48" s="11"/>
      <c r="D48" s="15"/>
      <c r="E48" s="15"/>
      <c r="F48" s="14">
        <v>2</v>
      </c>
      <c r="G48" s="14">
        <v>2</v>
      </c>
      <c r="H48" s="14">
        <v>2</v>
      </c>
      <c r="I48" s="14">
        <v>2</v>
      </c>
      <c r="J48" s="14">
        <v>2</v>
      </c>
      <c r="K48" s="14">
        <v>2</v>
      </c>
      <c r="L48" s="14">
        <v>2</v>
      </c>
      <c r="M48" s="14">
        <v>2</v>
      </c>
      <c r="N48" s="17">
        <v>2</v>
      </c>
      <c r="O48" s="17">
        <v>2</v>
      </c>
      <c r="P48" s="27">
        <v>2</v>
      </c>
      <c r="Q48" s="26">
        <f t="shared" ref="Q48:Q49" si="6">SUM(F48:P48)</f>
        <v>22</v>
      </c>
      <c r="R48" s="26">
        <f t="shared" si="4"/>
        <v>20</v>
      </c>
      <c r="S48" s="26">
        <f t="shared" si="5"/>
        <v>19</v>
      </c>
    </row>
    <row r="49" spans="1:19" x14ac:dyDescent="0.35">
      <c r="A49" t="s">
        <v>58</v>
      </c>
      <c r="B49" s="37" t="s">
        <v>14</v>
      </c>
      <c r="C49" s="11"/>
      <c r="D49" s="15"/>
      <c r="E49" s="15"/>
      <c r="F49" s="14">
        <v>2</v>
      </c>
      <c r="G49" s="14">
        <v>2</v>
      </c>
      <c r="H49" s="14">
        <v>2</v>
      </c>
      <c r="I49" s="14">
        <v>2</v>
      </c>
      <c r="J49" s="14">
        <v>2</v>
      </c>
      <c r="K49" s="14">
        <v>2</v>
      </c>
      <c r="L49" s="14">
        <v>2</v>
      </c>
      <c r="M49" s="14">
        <v>2</v>
      </c>
      <c r="N49" s="17">
        <v>2</v>
      </c>
      <c r="O49" s="17">
        <v>2</v>
      </c>
      <c r="P49" s="27">
        <v>2</v>
      </c>
      <c r="Q49" s="26">
        <f t="shared" si="6"/>
        <v>22</v>
      </c>
      <c r="R49" s="26">
        <f t="shared" si="4"/>
        <v>20</v>
      </c>
      <c r="S49" s="26">
        <f t="shared" si="5"/>
        <v>19</v>
      </c>
    </row>
    <row r="50" spans="1:19" x14ac:dyDescent="0.35">
      <c r="A50" t="s">
        <v>59</v>
      </c>
      <c r="B50" s="37" t="s">
        <v>44</v>
      </c>
      <c r="C50" s="12"/>
      <c r="D50" s="15"/>
      <c r="E50" s="15"/>
      <c r="F50" s="15"/>
      <c r="G50" s="14">
        <v>2</v>
      </c>
      <c r="H50" s="14">
        <v>2</v>
      </c>
      <c r="I50" s="14">
        <v>2</v>
      </c>
      <c r="J50" s="14">
        <v>2</v>
      </c>
      <c r="K50" s="14">
        <v>2</v>
      </c>
      <c r="L50" s="14">
        <v>2</v>
      </c>
      <c r="M50" s="14">
        <v>2</v>
      </c>
      <c r="N50" s="17">
        <v>2</v>
      </c>
      <c r="O50" s="17">
        <v>2</v>
      </c>
      <c r="P50" s="27">
        <v>2</v>
      </c>
      <c r="Q50" s="26">
        <f>SUM(G50:P50)</f>
        <v>20</v>
      </c>
      <c r="R50" s="26">
        <f t="shared" si="4"/>
        <v>18</v>
      </c>
      <c r="S50" s="26">
        <f t="shared" si="5"/>
        <v>17</v>
      </c>
    </row>
    <row r="51" spans="1:19" x14ac:dyDescent="0.35">
      <c r="A51" t="s">
        <v>60</v>
      </c>
      <c r="B51" s="37" t="s">
        <v>44</v>
      </c>
      <c r="C51" s="12"/>
      <c r="D51" s="15"/>
      <c r="E51" s="15"/>
      <c r="F51" s="15"/>
      <c r="G51" s="14">
        <v>2</v>
      </c>
      <c r="H51" s="14">
        <v>2</v>
      </c>
      <c r="I51" s="14">
        <v>2</v>
      </c>
      <c r="J51" s="14">
        <v>2</v>
      </c>
      <c r="K51" s="14">
        <v>2</v>
      </c>
      <c r="L51" s="14">
        <v>2</v>
      </c>
      <c r="M51" s="14">
        <v>2</v>
      </c>
      <c r="N51" s="17">
        <v>2</v>
      </c>
      <c r="O51" s="17">
        <v>2</v>
      </c>
      <c r="P51" s="27">
        <v>2</v>
      </c>
      <c r="Q51" s="26">
        <f>SUM(G51:P51)</f>
        <v>20</v>
      </c>
      <c r="R51" s="26">
        <f t="shared" si="4"/>
        <v>18</v>
      </c>
      <c r="S51" s="26">
        <f t="shared" si="5"/>
        <v>17</v>
      </c>
    </row>
    <row r="52" spans="1:19" x14ac:dyDescent="0.35">
      <c r="A52" t="s">
        <v>61</v>
      </c>
      <c r="B52" s="37" t="s">
        <v>44</v>
      </c>
      <c r="C52" s="12"/>
      <c r="D52" s="16"/>
      <c r="E52" s="15"/>
      <c r="F52" s="15"/>
      <c r="G52" s="15"/>
      <c r="H52" s="14">
        <v>2</v>
      </c>
      <c r="I52" s="14">
        <v>2</v>
      </c>
      <c r="J52" s="14">
        <v>2</v>
      </c>
      <c r="K52" s="14">
        <v>2</v>
      </c>
      <c r="L52" s="14">
        <v>2</v>
      </c>
      <c r="M52" s="14">
        <v>2</v>
      </c>
      <c r="N52" s="17">
        <v>2</v>
      </c>
      <c r="O52" s="17">
        <v>2</v>
      </c>
      <c r="P52" s="27">
        <v>2</v>
      </c>
      <c r="Q52" s="26">
        <f>SUM(H52:P52)</f>
        <v>18</v>
      </c>
      <c r="R52" s="26">
        <f t="shared" si="4"/>
        <v>16</v>
      </c>
      <c r="S52" s="26">
        <f t="shared" si="5"/>
        <v>15</v>
      </c>
    </row>
    <row r="53" spans="1:19" x14ac:dyDescent="0.35">
      <c r="A53" t="s">
        <v>62</v>
      </c>
      <c r="B53" s="37" t="s">
        <v>44</v>
      </c>
      <c r="C53" s="12"/>
      <c r="D53" s="16"/>
      <c r="E53" s="15"/>
      <c r="F53" s="15"/>
      <c r="G53" s="15"/>
      <c r="H53" s="14">
        <v>2</v>
      </c>
      <c r="I53" s="14">
        <v>2</v>
      </c>
      <c r="J53" s="14">
        <v>2</v>
      </c>
      <c r="K53" s="14">
        <v>2</v>
      </c>
      <c r="L53" s="14">
        <v>2</v>
      </c>
      <c r="M53" s="14">
        <v>2</v>
      </c>
      <c r="N53" s="17">
        <v>2</v>
      </c>
      <c r="O53" s="17">
        <v>2</v>
      </c>
      <c r="P53" s="27">
        <v>2</v>
      </c>
      <c r="Q53" s="26">
        <f t="shared" ref="Q53:Q60" si="7">SUM(H53:P53)</f>
        <v>18</v>
      </c>
      <c r="R53" s="26">
        <f t="shared" si="4"/>
        <v>16</v>
      </c>
      <c r="S53" s="26">
        <f t="shared" si="5"/>
        <v>15</v>
      </c>
    </row>
    <row r="54" spans="1:19" x14ac:dyDescent="0.35">
      <c r="A54" t="s">
        <v>63</v>
      </c>
      <c r="B54" s="37" t="s">
        <v>44</v>
      </c>
      <c r="C54" s="12"/>
      <c r="D54" s="16"/>
      <c r="E54" s="15"/>
      <c r="F54" s="15"/>
      <c r="G54" s="15"/>
      <c r="H54" s="14">
        <v>2</v>
      </c>
      <c r="I54" s="14">
        <v>2</v>
      </c>
      <c r="J54" s="14">
        <v>2</v>
      </c>
      <c r="K54" s="14">
        <v>2</v>
      </c>
      <c r="L54" s="14">
        <v>2</v>
      </c>
      <c r="M54" s="14">
        <v>2</v>
      </c>
      <c r="N54" s="17">
        <v>2</v>
      </c>
      <c r="O54" s="17">
        <v>2</v>
      </c>
      <c r="P54" s="27">
        <v>2</v>
      </c>
      <c r="Q54" s="26">
        <f t="shared" si="7"/>
        <v>18</v>
      </c>
      <c r="R54" s="26">
        <f t="shared" si="4"/>
        <v>16</v>
      </c>
      <c r="S54" s="26">
        <f t="shared" si="5"/>
        <v>15</v>
      </c>
    </row>
    <row r="55" spans="1:19" x14ac:dyDescent="0.35">
      <c r="A55" t="s">
        <v>64</v>
      </c>
      <c r="B55" s="37" t="s">
        <v>14</v>
      </c>
      <c r="C55" s="12"/>
      <c r="D55" s="16"/>
      <c r="E55" s="15"/>
      <c r="F55" s="15"/>
      <c r="G55" s="14">
        <v>2</v>
      </c>
      <c r="H55" s="14">
        <v>2</v>
      </c>
      <c r="I55" s="14">
        <v>2</v>
      </c>
      <c r="J55" s="14">
        <v>2</v>
      </c>
      <c r="K55" s="14">
        <v>2</v>
      </c>
      <c r="L55" s="14">
        <v>2</v>
      </c>
      <c r="M55" s="14">
        <v>2</v>
      </c>
      <c r="N55" s="17">
        <v>2</v>
      </c>
      <c r="O55" s="17">
        <v>2</v>
      </c>
      <c r="P55" s="27">
        <v>2</v>
      </c>
      <c r="Q55" s="26">
        <f>SUM(G55:P55)</f>
        <v>20</v>
      </c>
      <c r="R55" s="26">
        <f t="shared" si="4"/>
        <v>18</v>
      </c>
      <c r="S55" s="26">
        <f t="shared" si="5"/>
        <v>17</v>
      </c>
    </row>
    <row r="56" spans="1:19" x14ac:dyDescent="0.35">
      <c r="A56" t="s">
        <v>65</v>
      </c>
      <c r="B56" s="37" t="s">
        <v>44</v>
      </c>
      <c r="C56" s="12"/>
      <c r="D56" s="16"/>
      <c r="E56" s="16"/>
      <c r="F56" s="15"/>
      <c r="G56" s="15"/>
      <c r="H56" s="15"/>
      <c r="I56" s="14">
        <v>2</v>
      </c>
      <c r="J56" s="14">
        <v>2</v>
      </c>
      <c r="K56" s="14">
        <v>2</v>
      </c>
      <c r="L56" s="14">
        <v>2</v>
      </c>
      <c r="M56" s="14">
        <v>2</v>
      </c>
      <c r="N56" s="17">
        <v>2</v>
      </c>
      <c r="O56" s="17">
        <v>2</v>
      </c>
      <c r="P56" s="27">
        <v>2</v>
      </c>
      <c r="Q56" s="26">
        <f t="shared" si="7"/>
        <v>16</v>
      </c>
      <c r="R56" s="26">
        <f t="shared" si="4"/>
        <v>14</v>
      </c>
      <c r="S56" s="26">
        <f t="shared" si="5"/>
        <v>13</v>
      </c>
    </row>
    <row r="57" spans="1:19" x14ac:dyDescent="0.35">
      <c r="A57" t="s">
        <v>66</v>
      </c>
      <c r="B57" s="37" t="s">
        <v>44</v>
      </c>
      <c r="C57" s="12"/>
      <c r="D57" s="16"/>
      <c r="E57" s="16"/>
      <c r="F57" s="15"/>
      <c r="G57" s="15"/>
      <c r="H57" s="15"/>
      <c r="I57" s="14">
        <v>2</v>
      </c>
      <c r="J57" s="14">
        <v>2</v>
      </c>
      <c r="K57" s="14">
        <v>2</v>
      </c>
      <c r="L57" s="14">
        <v>2</v>
      </c>
      <c r="M57" s="14">
        <v>2</v>
      </c>
      <c r="N57" s="17">
        <v>2</v>
      </c>
      <c r="O57" s="17">
        <v>2</v>
      </c>
      <c r="P57" s="27">
        <v>2</v>
      </c>
      <c r="Q57" s="26">
        <f t="shared" si="7"/>
        <v>16</v>
      </c>
      <c r="R57" s="26">
        <f t="shared" si="4"/>
        <v>14</v>
      </c>
      <c r="S57" s="26">
        <f t="shared" si="5"/>
        <v>13</v>
      </c>
    </row>
    <row r="58" spans="1:19" x14ac:dyDescent="0.35">
      <c r="A58" t="s">
        <v>67</v>
      </c>
      <c r="B58" s="37" t="s">
        <v>14</v>
      </c>
      <c r="C58" s="12"/>
      <c r="D58" s="16"/>
      <c r="E58" s="16"/>
      <c r="F58" s="15"/>
      <c r="G58" s="15"/>
      <c r="H58" s="14">
        <v>2</v>
      </c>
      <c r="I58" s="14">
        <v>2</v>
      </c>
      <c r="J58" s="14">
        <v>2</v>
      </c>
      <c r="K58" s="14">
        <v>2</v>
      </c>
      <c r="L58" s="14">
        <v>2</v>
      </c>
      <c r="M58" s="14">
        <v>2</v>
      </c>
      <c r="N58" s="17">
        <v>2</v>
      </c>
      <c r="O58" s="17">
        <v>2</v>
      </c>
      <c r="P58" s="27">
        <v>2</v>
      </c>
      <c r="Q58" s="26">
        <f t="shared" si="7"/>
        <v>18</v>
      </c>
      <c r="R58" s="26">
        <f t="shared" si="4"/>
        <v>16</v>
      </c>
      <c r="S58" s="26">
        <f t="shared" si="5"/>
        <v>15</v>
      </c>
    </row>
    <row r="59" spans="1:19" x14ac:dyDescent="0.35">
      <c r="A59" t="s">
        <v>68</v>
      </c>
      <c r="B59" s="37" t="s">
        <v>44</v>
      </c>
      <c r="C59" s="12"/>
      <c r="D59" s="16"/>
      <c r="E59" s="16"/>
      <c r="F59" s="16"/>
      <c r="G59" s="15"/>
      <c r="H59" s="15"/>
      <c r="I59" s="15"/>
      <c r="J59" s="14">
        <v>2</v>
      </c>
      <c r="K59" s="14">
        <v>2</v>
      </c>
      <c r="L59" s="14">
        <v>2</v>
      </c>
      <c r="M59" s="14">
        <v>2</v>
      </c>
      <c r="N59" s="17">
        <v>2</v>
      </c>
      <c r="O59" s="17">
        <v>2</v>
      </c>
      <c r="P59" s="27">
        <v>2</v>
      </c>
      <c r="Q59" s="26">
        <f t="shared" si="7"/>
        <v>14</v>
      </c>
      <c r="R59" s="26">
        <f t="shared" si="4"/>
        <v>12</v>
      </c>
      <c r="S59" s="26">
        <f t="shared" si="5"/>
        <v>11</v>
      </c>
    </row>
    <row r="60" spans="1:19" ht="15" thickBot="1" x14ac:dyDescent="0.4">
      <c r="A60" s="9" t="s">
        <v>69</v>
      </c>
      <c r="B60" s="39" t="s">
        <v>14</v>
      </c>
      <c r="C60" s="19"/>
      <c r="D60" s="20"/>
      <c r="E60" s="20"/>
      <c r="F60" s="20"/>
      <c r="G60" s="21"/>
      <c r="H60" s="21"/>
      <c r="I60" s="22">
        <v>2</v>
      </c>
      <c r="J60" s="22">
        <v>2</v>
      </c>
      <c r="K60" s="22">
        <v>2</v>
      </c>
      <c r="L60" s="22">
        <v>2</v>
      </c>
      <c r="M60" s="22">
        <v>2</v>
      </c>
      <c r="N60" s="23">
        <v>2</v>
      </c>
      <c r="O60" s="23">
        <v>2</v>
      </c>
      <c r="P60" s="27">
        <v>2</v>
      </c>
      <c r="Q60" s="26">
        <f t="shared" si="7"/>
        <v>16</v>
      </c>
      <c r="R60" s="26">
        <f t="shared" si="4"/>
        <v>14</v>
      </c>
      <c r="S60" s="26">
        <f t="shared" si="5"/>
        <v>13</v>
      </c>
    </row>
    <row r="61" spans="1:19" ht="15" thickBot="1" x14ac:dyDescent="0.4">
      <c r="A61" s="4" t="s">
        <v>16</v>
      </c>
      <c r="P61" s="29" t="s">
        <v>13</v>
      </c>
      <c r="Q61" s="30">
        <f>SUM(Q37:Q60)</f>
        <v>483</v>
      </c>
      <c r="R61" s="31">
        <f>SUM(R37:R60)</f>
        <v>435</v>
      </c>
      <c r="S61" s="31">
        <f>SUM(S37:S60)</f>
        <v>411</v>
      </c>
    </row>
    <row r="62" spans="1:19" x14ac:dyDescent="0.35">
      <c r="A62" s="4" t="s">
        <v>17</v>
      </c>
    </row>
    <row r="63" spans="1:19" x14ac:dyDescent="0.35">
      <c r="A63" s="4" t="s">
        <v>18</v>
      </c>
    </row>
    <row r="64" spans="1:19" x14ac:dyDescent="0.35">
      <c r="A64" s="4" t="s">
        <v>19</v>
      </c>
    </row>
  </sheetData>
  <conditionalFormatting sqref="B3:B25">
    <cfRule type="containsText" dxfId="1" priority="2" operator="containsText" text="Head">
      <formula>NOT(ISERROR(SEARCH("Head",B3)))</formula>
    </cfRule>
  </conditionalFormatting>
  <conditionalFormatting sqref="B38:B60">
    <cfRule type="containsText" dxfId="0" priority="1" operator="containsText" text="Head">
      <formula>NOT(ISERROR(SEARCH("Head",B38)))</formula>
    </cfRule>
  </conditionalFormatting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4045-C97D-4904-9820-2773F386950B}">
  <dimension ref="A1:D24"/>
  <sheetViews>
    <sheetView workbookViewId="0">
      <selection activeCell="A3" sqref="A3"/>
    </sheetView>
  </sheetViews>
  <sheetFormatPr defaultRowHeight="14.5" x14ac:dyDescent="0.35"/>
  <sheetData>
    <row r="1" spans="1:4" x14ac:dyDescent="0.35">
      <c r="A1" t="s">
        <v>75</v>
      </c>
    </row>
    <row r="2" spans="1:4" x14ac:dyDescent="0.35">
      <c r="A2" t="s">
        <v>77</v>
      </c>
    </row>
    <row r="3" spans="1:4" x14ac:dyDescent="0.35">
      <c r="A3" t="s">
        <v>21</v>
      </c>
    </row>
    <row r="4" spans="1:4" x14ac:dyDescent="0.35">
      <c r="A4" t="s">
        <v>76</v>
      </c>
    </row>
    <row r="6" spans="1:4" x14ac:dyDescent="0.35">
      <c r="A6" t="s">
        <v>22</v>
      </c>
      <c r="B6" t="s">
        <v>23</v>
      </c>
    </row>
    <row r="7" spans="1:4" x14ac:dyDescent="0.35">
      <c r="A7" t="s">
        <v>74</v>
      </c>
      <c r="B7" t="s">
        <v>24</v>
      </c>
    </row>
    <row r="8" spans="1:4" x14ac:dyDescent="0.35">
      <c r="B8" s="2"/>
    </row>
    <row r="9" spans="1:4" x14ac:dyDescent="0.35">
      <c r="A9" s="6" t="s">
        <v>25</v>
      </c>
    </row>
    <row r="10" spans="1:4" x14ac:dyDescent="0.35">
      <c r="A10" t="s">
        <v>26</v>
      </c>
    </row>
    <row r="11" spans="1:4" x14ac:dyDescent="0.35">
      <c r="A11" s="4" t="s">
        <v>27</v>
      </c>
      <c r="B11" s="3" t="s">
        <v>28</v>
      </c>
      <c r="C11" t="s">
        <v>29</v>
      </c>
      <c r="D11" t="s">
        <v>30</v>
      </c>
    </row>
    <row r="13" spans="1:4" x14ac:dyDescent="0.35">
      <c r="A13" s="4" t="s">
        <v>31</v>
      </c>
    </row>
    <row r="14" spans="1:4" x14ac:dyDescent="0.35">
      <c r="A14" t="s">
        <v>32</v>
      </c>
    </row>
    <row r="15" spans="1:4" x14ac:dyDescent="0.35">
      <c r="A15" s="4" t="s">
        <v>14</v>
      </c>
      <c r="B15" s="3" t="s">
        <v>28</v>
      </c>
      <c r="C15" t="s">
        <v>29</v>
      </c>
      <c r="D15" t="s">
        <v>33</v>
      </c>
    </row>
    <row r="16" spans="1:4" x14ac:dyDescent="0.35">
      <c r="A16" s="4" t="s">
        <v>0</v>
      </c>
      <c r="B16" s="3" t="s">
        <v>28</v>
      </c>
      <c r="C16" t="s">
        <v>34</v>
      </c>
      <c r="D16" t="s">
        <v>35</v>
      </c>
    </row>
    <row r="18" spans="1:3" x14ac:dyDescent="0.35">
      <c r="A18" s="5" t="s">
        <v>36</v>
      </c>
    </row>
    <row r="20" spans="1:3" x14ac:dyDescent="0.35">
      <c r="A20" t="s">
        <v>37</v>
      </c>
    </row>
    <row r="21" spans="1:3" x14ac:dyDescent="0.35">
      <c r="A21" t="s">
        <v>38</v>
      </c>
    </row>
    <row r="22" spans="1:3" x14ac:dyDescent="0.35">
      <c r="A22" t="s">
        <v>39</v>
      </c>
    </row>
    <row r="23" spans="1:3" x14ac:dyDescent="0.35">
      <c r="A23" t="s">
        <v>40</v>
      </c>
    </row>
    <row r="24" spans="1:3" x14ac:dyDescent="0.35">
      <c r="A24" t="s">
        <v>41</v>
      </c>
      <c r="B24" s="32" t="s">
        <v>42</v>
      </c>
      <c r="C24" s="1" t="s">
        <v>43</v>
      </c>
    </row>
  </sheetData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frame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Kondri, Janos /HU</dc:creator>
  <cp:keywords/>
  <dc:description/>
  <cp:lastModifiedBy>Kondri, Janos /HU</cp:lastModifiedBy>
  <cp:revision/>
  <dcterms:created xsi:type="dcterms:W3CDTF">2025-02-06T10:39:54Z</dcterms:created>
  <dcterms:modified xsi:type="dcterms:W3CDTF">2026-02-13T16:42:05Z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2025-02-10T09:56:34Z</vt:lpwstr>
  </property>
  <property fmtid="{D5CDD505-2E9C-101B-9397-08002B2CF9AE}" pid="4" name="MSIP_Label_9e3dcb88-8425-4e1d-b1a3-bd5572915bbc_Method">
    <vt:lpwstr>Privileged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527bf66c-ba3b-4851-8273-fc25aa505d0b</vt:lpwstr>
  </property>
  <property fmtid="{D5CDD505-2E9C-101B-9397-08002B2CF9AE}" pid="8" name="MSIP_Label_9e3dcb88-8425-4e1d-b1a3-bd5572915bbc_ContentBits">
    <vt:lpwstr>1</vt:lpwstr>
  </property>
</Properties>
</file>